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sset Register" sheetId="2" state="visible" r:id="rId2"/>
    <sheet name="Monthly Additions" sheetId="3" state="visible" r:id="rId3"/>
    <sheet name="Amortization Schedule" sheetId="4" state="visible" r:id="rId4"/>
    <sheet name="Summary Dashboard" sheetId="5" state="visible" r:id="rId5"/>
    <sheet name="Journal Entry Helper" sheetId="6" state="visible" r:id="rId6"/>
  </sheets>
  <definedNames>
    <definedName name="_xlnm._FilterDatabase" localSheetId="1" hidden="1">'Asset Register'!$A$1:$I$3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</cols>
  <sheetData>
    <row r="1" ht="28" customHeight="1">
      <c r="A1" s="1" t="inlineStr">
        <is>
          <t>CapEx Asset Register — Instructions</t>
        </is>
      </c>
    </row>
    <row r="2">
      <c r="A2" s="2" t="inlineStr">
        <is>
          <t>Purpose: Maintain the list of capitalized software projects, their amortization, and net book value.</t>
        </is>
      </c>
    </row>
    <row r="3">
      <c r="A3" s="2" t="inlineStr">
        <is>
          <t>Cadence: Update monthly after the engineering CapEx report is delivered (1st of each month).</t>
        </is>
      </c>
    </row>
    <row r="4">
      <c r="A4" s="2" t="inlineStr"/>
    </row>
    <row r="5">
      <c r="A5" s="2" t="inlineStr">
        <is>
          <t>Workflow each month:</t>
        </is>
      </c>
    </row>
    <row r="6">
      <c r="A6" s="2" t="inlineStr">
        <is>
          <t>1. Open the latest monthly CapEx report XLSX (delivered via Drive + email).</t>
        </is>
      </c>
    </row>
    <row r="7">
      <c r="A7" s="2" t="inlineStr">
        <is>
          <t>2. On the 'Monthly Additions' tab, append one row per project_code with the $ added this month.</t>
        </is>
      </c>
    </row>
    <row r="8">
      <c r="A8" s="2" t="inlineStr">
        <is>
          <t>3. On the 'Asset Register' tab, update 'Total Capitalized' for each project (sum of all additions to date).</t>
        </is>
      </c>
    </row>
    <row r="9">
      <c r="A9" s="2" t="inlineStr">
        <is>
          <t>4. Set 'In-Service Date' the FIRST month the project delivers production value. Amortization begins then.</t>
        </is>
      </c>
    </row>
    <row r="10">
      <c r="A10" s="2" t="inlineStr">
        <is>
          <t>5. 'Monthly Amortization' and 'Net Book Value' are formulas — do not overwrite unless useful life changes.</t>
        </is>
      </c>
    </row>
    <row r="11">
      <c r="A11" s="2" t="inlineStr">
        <is>
          <t>6. On 'Journal Entry Helper' copy the month's suggested JE lines to your GL (NetSuite, QBO, etc.).</t>
        </is>
      </c>
    </row>
    <row r="12">
      <c r="A12" s="2" t="inlineStr">
        <is>
          <t>7. If a project is retired or impaired, set Status accordingly and zero out future amortization manually.</t>
        </is>
      </c>
    </row>
    <row r="13">
      <c r="A13" s="2" t="inlineStr"/>
    </row>
    <row r="14">
      <c r="A14" s="2" t="inlineStr">
        <is>
          <t>Conventions:</t>
        </is>
      </c>
    </row>
    <row r="15">
      <c r="A15" s="2" t="inlineStr">
        <is>
          <t>- Project Code must match the code used in the Jira CapEx Project Code field.</t>
        </is>
      </c>
    </row>
    <row r="16">
      <c r="A16" s="2" t="inlineStr">
        <is>
          <t>- All dollar amounts in USD. All dates ISO format (yyyy-mm-dd).</t>
        </is>
      </c>
    </row>
    <row r="17">
      <c r="A17" s="2" t="inlineStr">
        <is>
          <t>- Useful life defaults to 36 months (3 years straight-line). Finance can override per project.</t>
        </is>
      </c>
    </row>
    <row r="18">
      <c r="A18" s="2" t="inlineStr"/>
    </row>
    <row r="19">
      <c r="A19" s="2" t="inlineStr">
        <is>
          <t>Questions? finance@yourcompany.com</t>
        </is>
      </c>
    </row>
  </sheetData>
  <mergeCells count="19">
    <mergeCell ref="A15:B15"/>
    <mergeCell ref="A11:B11"/>
    <mergeCell ref="A1:B1"/>
    <mergeCell ref="A6:B6"/>
    <mergeCell ref="A16:B16"/>
    <mergeCell ref="A7:B7"/>
    <mergeCell ref="A18:B18"/>
    <mergeCell ref="A3:B3"/>
    <mergeCell ref="A12:B12"/>
    <mergeCell ref="A2:B2"/>
    <mergeCell ref="A5:B5"/>
    <mergeCell ref="A14:B14"/>
    <mergeCell ref="A17:B17"/>
    <mergeCell ref="A8:B8"/>
    <mergeCell ref="A4:B4"/>
    <mergeCell ref="A19:B19"/>
    <mergeCell ref="A10:B10"/>
    <mergeCell ref="A13:B13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7" customWidth="1" min="3" max="3"/>
    <col width="19" customWidth="1" min="4" max="4"/>
    <col width="22" customWidth="1" min="5" max="5"/>
    <col width="22" customWidth="1" min="6" max="6"/>
    <col width="26" customWidth="1" min="7" max="7"/>
    <col width="16" customWidth="1" min="8" max="8"/>
    <col width="12" customWidth="1" min="9" max="9"/>
  </cols>
  <sheetData>
    <row r="1">
      <c r="A1" s="3" t="inlineStr">
        <is>
          <t>Project Code</t>
        </is>
      </c>
      <c r="B1" s="3" t="inlineStr">
        <is>
          <t>Description</t>
        </is>
      </c>
      <c r="C1" s="3" t="inlineStr">
        <is>
          <t>In-Service Date</t>
        </is>
      </c>
      <c r="D1" s="3" t="inlineStr">
        <is>
          <t>Total Capitalized</t>
        </is>
      </c>
      <c r="E1" s="3" t="inlineStr">
        <is>
          <t>Useful Life (months)</t>
        </is>
      </c>
      <c r="F1" s="3" t="inlineStr">
        <is>
          <t>Monthly Amortization</t>
        </is>
      </c>
      <c r="G1" s="3" t="inlineStr">
        <is>
          <t>Accumulated Amortization</t>
        </is>
      </c>
      <c r="H1" s="3" t="inlineStr">
        <is>
          <t>Net Book Value</t>
        </is>
      </c>
      <c r="I1" s="3" t="inlineStr">
        <is>
          <t>Status</t>
        </is>
      </c>
    </row>
    <row r="2">
      <c r="A2" t="inlineStr">
        <is>
          <t>CAPEX-2026-PLATFORM-SSO</t>
        </is>
      </c>
      <c r="B2" t="inlineStr">
        <is>
          <t>SSO Platform Rollout</t>
        </is>
      </c>
      <c r="C2" s="4" t="inlineStr">
        <is>
          <t>2026-03-15</t>
        </is>
      </c>
      <c r="D2" s="5" t="n">
        <v>185000</v>
      </c>
      <c r="E2" t="n">
        <v>36</v>
      </c>
      <c r="F2" s="5">
        <f>D2/E2</f>
        <v/>
      </c>
      <c r="G2" s="5" t="n">
        <v>0</v>
      </c>
      <c r="H2" s="5">
        <f>D2-G2</f>
        <v/>
      </c>
      <c r="I2" t="inlineStr">
        <is>
          <t>Active</t>
        </is>
      </c>
    </row>
    <row r="3">
      <c r="A3" t="inlineStr">
        <is>
          <t>CAPEX-2026-RESIDENT-APP</t>
        </is>
      </c>
      <c r="B3" t="inlineStr">
        <is>
          <t>Resident App v2 checkout flow</t>
        </is>
      </c>
      <c r="C3" s="4" t="inlineStr">
        <is>
          <t>2026-04-01</t>
        </is>
      </c>
      <c r="D3" s="5" t="n">
        <v>92500</v>
      </c>
      <c r="E3" t="n">
        <v>36</v>
      </c>
      <c r="F3" s="5">
        <f>D3/E3</f>
        <v/>
      </c>
      <c r="G3" s="5" t="n">
        <v>0</v>
      </c>
      <c r="H3" s="5">
        <f>D3-G3</f>
        <v/>
      </c>
      <c r="I3" t="inlineStr">
        <is>
          <t>Active</t>
        </is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27" customWidth="1" min="4" max="4"/>
    <col width="28" customWidth="1" min="5" max="5"/>
  </cols>
  <sheetData>
    <row r="1">
      <c r="A1" s="3" t="inlineStr">
        <is>
          <t>Month</t>
        </is>
      </c>
      <c r="B1" s="3" t="inlineStr">
        <is>
          <t>Project Code</t>
        </is>
      </c>
      <c r="C1" s="3" t="inlineStr">
        <is>
          <t>Amount Added</t>
        </is>
      </c>
      <c r="D1" s="3" t="inlineStr">
        <is>
          <t>Source Report File</t>
        </is>
      </c>
      <c r="E1" s="3" t="inlineStr">
        <is>
          <t>Notes</t>
        </is>
      </c>
    </row>
    <row r="2">
      <c r="A2" t="inlineStr">
        <is>
          <t>2026-03</t>
        </is>
      </c>
      <c r="B2" t="inlineStr">
        <is>
          <t>CAPEX-2026-PLATFORM-SSO</t>
        </is>
      </c>
      <c r="C2" s="5" t="n">
        <v>125000</v>
      </c>
      <c r="D2" t="inlineStr">
        <is>
          <t>capex-report-2026-03.xlsx</t>
        </is>
      </c>
      <c r="E2" t="inlineStr">
        <is>
          <t>Initial build</t>
        </is>
      </c>
    </row>
    <row r="3">
      <c r="A3" t="inlineStr">
        <is>
          <t>2026-03</t>
        </is>
      </c>
      <c r="B3" t="inlineStr">
        <is>
          <t>CAPEX-2026-RESIDENT-APP</t>
        </is>
      </c>
      <c r="C3" s="5" t="n">
        <v>55000</v>
      </c>
      <c r="D3" t="inlineStr">
        <is>
          <t>capex-report-2026-03.xlsx</t>
        </is>
      </c>
      <c r="E3" t="inlineStr">
        <is>
          <t>Scaffolding + payment form</t>
        </is>
      </c>
    </row>
    <row r="4">
      <c r="A4" t="inlineStr">
        <is>
          <t>2026-04</t>
        </is>
      </c>
      <c r="B4" t="inlineStr">
        <is>
          <t>CAPEX-2026-PLATFORM-SSO</t>
        </is>
      </c>
      <c r="C4" s="5" t="n">
        <v>60000</v>
      </c>
      <c r="D4" t="inlineStr">
        <is>
          <t>capex-report-2026-04.xlsx</t>
        </is>
      </c>
      <c r="E4" t="inlineStr">
        <is>
          <t>Finalize + ship</t>
        </is>
      </c>
    </row>
    <row r="5">
      <c r="A5" t="inlineStr">
        <is>
          <t>2026-04</t>
        </is>
      </c>
      <c r="B5" t="inlineStr">
        <is>
          <t>CAPEX-2026-RESIDENT-APP</t>
        </is>
      </c>
      <c r="C5" s="5" t="n">
        <v>37500</v>
      </c>
      <c r="D5" t="inlineStr">
        <is>
          <t>capex-report-2026-04.xlsx</t>
        </is>
      </c>
      <c r="E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35" customWidth="1" min="4" max="4"/>
    <col width="25" customWidth="1" min="5" max="5"/>
    <col width="26" customWidth="1" min="6" max="6"/>
  </cols>
  <sheetData>
    <row r="1">
      <c r="A1" s="3" t="inlineStr">
        <is>
          <t>Month #</t>
        </is>
      </c>
      <c r="B1" s="3" t="inlineStr">
        <is>
          <t>Period (yyyy-mm)</t>
        </is>
      </c>
      <c r="C1" s="3" t="inlineStr">
        <is>
          <t>Project Code</t>
        </is>
      </c>
      <c r="D1" s="3" t="inlineStr">
        <is>
          <t>Monthly Amortization</t>
        </is>
      </c>
      <c r="E1" s="3" t="inlineStr">
        <is>
          <t>Cumulative Amortization</t>
        </is>
      </c>
      <c r="F1" s="3" t="inlineStr">
        <is>
          <t>Remaining NBV</t>
        </is>
      </c>
    </row>
    <row r="2">
      <c r="A2" t="n">
        <v>1</v>
      </c>
      <c r="B2" t="inlineStr">
        <is>
          <t>2026-03</t>
        </is>
      </c>
      <c r="C2" t="inlineStr">
        <is>
          <t>CAPEX-2026-PLATFORM-SSO</t>
        </is>
      </c>
      <c r="D2" s="5">
        <f>'Asset Register'!D2/'Asset Register'!E2</f>
        <v/>
      </c>
      <c r="E2" s="5">
        <f>D2*A2</f>
        <v/>
      </c>
      <c r="F2" s="5">
        <f>'Asset Register'!D2-E2</f>
        <v/>
      </c>
    </row>
    <row r="3">
      <c r="A3" t="n">
        <v>2</v>
      </c>
      <c r="B3" t="inlineStr">
        <is>
          <t>2026-04</t>
        </is>
      </c>
      <c r="C3" t="inlineStr">
        <is>
          <t>CAPEX-2026-PLATFORM-SSO</t>
        </is>
      </c>
      <c r="D3" s="5">
        <f>'Asset Register'!D2/'Asset Register'!E2</f>
        <v/>
      </c>
      <c r="E3" s="5">
        <f>D3*A3</f>
        <v/>
      </c>
      <c r="F3" s="5">
        <f>'Asset Register'!D2-E3</f>
        <v/>
      </c>
    </row>
    <row r="4">
      <c r="A4" t="n">
        <v>3</v>
      </c>
      <c r="B4" t="inlineStr">
        <is>
          <t>2026-05</t>
        </is>
      </c>
      <c r="C4" t="inlineStr">
        <is>
          <t>CAPEX-2026-PLATFORM-SSO</t>
        </is>
      </c>
      <c r="D4" s="5">
        <f>'Asset Register'!D2/'Asset Register'!E2</f>
        <v/>
      </c>
      <c r="E4" s="5">
        <f>D4*A4</f>
        <v/>
      </c>
      <c r="F4" s="5">
        <f>'Asset Register'!D2-E4</f>
        <v/>
      </c>
    </row>
    <row r="5">
      <c r="A5" t="n">
        <v>4</v>
      </c>
      <c r="B5" t="inlineStr">
        <is>
          <t>2026-06</t>
        </is>
      </c>
      <c r="C5" t="inlineStr">
        <is>
          <t>CAPEX-2026-PLATFORM-SSO</t>
        </is>
      </c>
      <c r="D5" s="5">
        <f>'Asset Register'!D2/'Asset Register'!E2</f>
        <v/>
      </c>
      <c r="E5" s="5">
        <f>D5*A5</f>
        <v/>
      </c>
      <c r="F5" s="5">
        <f>'Asset Register'!D2-E5</f>
        <v/>
      </c>
    </row>
    <row r="6">
      <c r="A6" t="n">
        <v>5</v>
      </c>
      <c r="B6" t="inlineStr">
        <is>
          <t>2026-07</t>
        </is>
      </c>
      <c r="C6" t="inlineStr">
        <is>
          <t>CAPEX-2026-PLATFORM-SSO</t>
        </is>
      </c>
      <c r="D6" s="5">
        <f>'Asset Register'!D2/'Asset Register'!E2</f>
        <v/>
      </c>
      <c r="E6" s="5">
        <f>D6*A6</f>
        <v/>
      </c>
      <c r="F6" s="5">
        <f>'Asset Register'!D2-E6</f>
        <v/>
      </c>
    </row>
    <row r="7">
      <c r="A7" t="n">
        <v>6</v>
      </c>
      <c r="B7" t="inlineStr">
        <is>
          <t>2026-08</t>
        </is>
      </c>
      <c r="C7" t="inlineStr">
        <is>
          <t>CAPEX-2026-PLATFORM-SSO</t>
        </is>
      </c>
      <c r="D7" s="5">
        <f>'Asset Register'!D2/'Asset Register'!E2</f>
        <v/>
      </c>
      <c r="E7" s="5">
        <f>D7*A7</f>
        <v/>
      </c>
      <c r="F7" s="5">
        <f>'Asset Register'!D2-E7</f>
        <v/>
      </c>
    </row>
    <row r="8">
      <c r="A8" t="n">
        <v>7</v>
      </c>
      <c r="B8" t="inlineStr">
        <is>
          <t>2026-09</t>
        </is>
      </c>
      <c r="C8" t="inlineStr">
        <is>
          <t>CAPEX-2026-PLATFORM-SSO</t>
        </is>
      </c>
      <c r="D8" s="5">
        <f>'Asset Register'!D2/'Asset Register'!E2</f>
        <v/>
      </c>
      <c r="E8" s="5">
        <f>D8*A8</f>
        <v/>
      </c>
      <c r="F8" s="5">
        <f>'Asset Register'!D2-E8</f>
        <v/>
      </c>
    </row>
    <row r="9">
      <c r="A9" t="n">
        <v>8</v>
      </c>
      <c r="B9" t="inlineStr">
        <is>
          <t>2026-10</t>
        </is>
      </c>
      <c r="C9" t="inlineStr">
        <is>
          <t>CAPEX-2026-PLATFORM-SSO</t>
        </is>
      </c>
      <c r="D9" s="5">
        <f>'Asset Register'!D2/'Asset Register'!E2</f>
        <v/>
      </c>
      <c r="E9" s="5">
        <f>D9*A9</f>
        <v/>
      </c>
      <c r="F9" s="5">
        <f>'Asset Register'!D2-E9</f>
        <v/>
      </c>
    </row>
    <row r="10">
      <c r="A10" t="n">
        <v>9</v>
      </c>
      <c r="B10" t="inlineStr">
        <is>
          <t>2026-11</t>
        </is>
      </c>
      <c r="C10" t="inlineStr">
        <is>
          <t>CAPEX-2026-PLATFORM-SSO</t>
        </is>
      </c>
      <c r="D10" s="5">
        <f>'Asset Register'!D2/'Asset Register'!E2</f>
        <v/>
      </c>
      <c r="E10" s="5">
        <f>D10*A10</f>
        <v/>
      </c>
      <c r="F10" s="5">
        <f>'Asset Register'!D2-E10</f>
        <v/>
      </c>
    </row>
    <row r="11">
      <c r="A11" t="n">
        <v>10</v>
      </c>
      <c r="B11" t="inlineStr">
        <is>
          <t>2026-12</t>
        </is>
      </c>
      <c r="C11" t="inlineStr">
        <is>
          <t>CAPEX-2026-PLATFORM-SSO</t>
        </is>
      </c>
      <c r="D11" s="5">
        <f>'Asset Register'!D2/'Asset Register'!E2</f>
        <v/>
      </c>
      <c r="E11" s="5">
        <f>D11*A11</f>
        <v/>
      </c>
      <c r="F11" s="5">
        <f>'Asset Register'!D2-E11</f>
        <v/>
      </c>
    </row>
    <row r="12">
      <c r="A12" t="n">
        <v>11</v>
      </c>
      <c r="B12" t="inlineStr">
        <is>
          <t>2027-01</t>
        </is>
      </c>
      <c r="C12" t="inlineStr">
        <is>
          <t>CAPEX-2026-PLATFORM-SSO</t>
        </is>
      </c>
      <c r="D12" s="5">
        <f>'Asset Register'!D2/'Asset Register'!E2</f>
        <v/>
      </c>
      <c r="E12" s="5">
        <f>D12*A12</f>
        <v/>
      </c>
      <c r="F12" s="5">
        <f>'Asset Register'!D2-E12</f>
        <v/>
      </c>
    </row>
    <row r="13">
      <c r="A13" t="n">
        <v>12</v>
      </c>
      <c r="B13" t="inlineStr">
        <is>
          <t>2027-02</t>
        </is>
      </c>
      <c r="C13" t="inlineStr">
        <is>
          <t>CAPEX-2026-PLATFORM-SSO</t>
        </is>
      </c>
      <c r="D13" s="5">
        <f>'Asset Register'!D2/'Asset Register'!E2</f>
        <v/>
      </c>
      <c r="E13" s="5">
        <f>D13*A13</f>
        <v/>
      </c>
      <c r="F13" s="5">
        <f>'Asset Register'!D2-E13</f>
        <v/>
      </c>
    </row>
    <row r="14">
      <c r="A14" t="n">
        <v>13</v>
      </c>
      <c r="B14" t="inlineStr">
        <is>
          <t>2027-03</t>
        </is>
      </c>
      <c r="C14" t="inlineStr">
        <is>
          <t>CAPEX-2026-PLATFORM-SSO</t>
        </is>
      </c>
      <c r="D14" s="5">
        <f>'Asset Register'!D2/'Asset Register'!E2</f>
        <v/>
      </c>
      <c r="E14" s="5">
        <f>D14*A14</f>
        <v/>
      </c>
      <c r="F14" s="5">
        <f>'Asset Register'!D2-E14</f>
        <v/>
      </c>
    </row>
    <row r="15">
      <c r="A15" t="n">
        <v>14</v>
      </c>
      <c r="B15" t="inlineStr">
        <is>
          <t>2027-04</t>
        </is>
      </c>
      <c r="C15" t="inlineStr">
        <is>
          <t>CAPEX-2026-PLATFORM-SSO</t>
        </is>
      </c>
      <c r="D15" s="5">
        <f>'Asset Register'!D2/'Asset Register'!E2</f>
        <v/>
      </c>
      <c r="E15" s="5">
        <f>D15*A15</f>
        <v/>
      </c>
      <c r="F15" s="5">
        <f>'Asset Register'!D2-E15</f>
        <v/>
      </c>
    </row>
    <row r="16">
      <c r="A16" t="n">
        <v>15</v>
      </c>
      <c r="B16" t="inlineStr">
        <is>
          <t>2027-05</t>
        </is>
      </c>
      <c r="C16" t="inlineStr">
        <is>
          <t>CAPEX-2026-PLATFORM-SSO</t>
        </is>
      </c>
      <c r="D16" s="5">
        <f>'Asset Register'!D2/'Asset Register'!E2</f>
        <v/>
      </c>
      <c r="E16" s="5">
        <f>D16*A16</f>
        <v/>
      </c>
      <c r="F16" s="5">
        <f>'Asset Register'!D2-E16</f>
        <v/>
      </c>
    </row>
    <row r="17">
      <c r="A17" t="n">
        <v>16</v>
      </c>
      <c r="B17" t="inlineStr">
        <is>
          <t>2027-06</t>
        </is>
      </c>
      <c r="C17" t="inlineStr">
        <is>
          <t>CAPEX-2026-PLATFORM-SSO</t>
        </is>
      </c>
      <c r="D17" s="5">
        <f>'Asset Register'!D2/'Asset Register'!E2</f>
        <v/>
      </c>
      <c r="E17" s="5">
        <f>D17*A17</f>
        <v/>
      </c>
      <c r="F17" s="5">
        <f>'Asset Register'!D2-E17</f>
        <v/>
      </c>
    </row>
    <row r="18">
      <c r="A18" t="n">
        <v>17</v>
      </c>
      <c r="B18" t="inlineStr">
        <is>
          <t>2027-07</t>
        </is>
      </c>
      <c r="C18" t="inlineStr">
        <is>
          <t>CAPEX-2026-PLATFORM-SSO</t>
        </is>
      </c>
      <c r="D18" s="5">
        <f>'Asset Register'!D2/'Asset Register'!E2</f>
        <v/>
      </c>
      <c r="E18" s="5">
        <f>D18*A18</f>
        <v/>
      </c>
      <c r="F18" s="5">
        <f>'Asset Register'!D2-E18</f>
        <v/>
      </c>
    </row>
    <row r="19">
      <c r="A19" t="n">
        <v>18</v>
      </c>
      <c r="B19" t="inlineStr">
        <is>
          <t>2027-08</t>
        </is>
      </c>
      <c r="C19" t="inlineStr">
        <is>
          <t>CAPEX-2026-PLATFORM-SSO</t>
        </is>
      </c>
      <c r="D19" s="5">
        <f>'Asset Register'!D2/'Asset Register'!E2</f>
        <v/>
      </c>
      <c r="E19" s="5">
        <f>D19*A19</f>
        <v/>
      </c>
      <c r="F19" s="5">
        <f>'Asset Register'!D2-E19</f>
        <v/>
      </c>
    </row>
    <row r="20">
      <c r="A20" t="n">
        <v>19</v>
      </c>
      <c r="B20" t="inlineStr">
        <is>
          <t>2027-09</t>
        </is>
      </c>
      <c r="C20" t="inlineStr">
        <is>
          <t>CAPEX-2026-PLATFORM-SSO</t>
        </is>
      </c>
      <c r="D20" s="5">
        <f>'Asset Register'!D2/'Asset Register'!E2</f>
        <v/>
      </c>
      <c r="E20" s="5">
        <f>D20*A20</f>
        <v/>
      </c>
      <c r="F20" s="5">
        <f>'Asset Register'!D2-E20</f>
        <v/>
      </c>
    </row>
    <row r="21">
      <c r="A21" t="n">
        <v>20</v>
      </c>
      <c r="B21" t="inlineStr">
        <is>
          <t>2027-10</t>
        </is>
      </c>
      <c r="C21" t="inlineStr">
        <is>
          <t>CAPEX-2026-PLATFORM-SSO</t>
        </is>
      </c>
      <c r="D21" s="5">
        <f>'Asset Register'!D2/'Asset Register'!E2</f>
        <v/>
      </c>
      <c r="E21" s="5">
        <f>D21*A21</f>
        <v/>
      </c>
      <c r="F21" s="5">
        <f>'Asset Register'!D2-E21</f>
        <v/>
      </c>
    </row>
    <row r="22">
      <c r="A22" t="n">
        <v>21</v>
      </c>
      <c r="B22" t="inlineStr">
        <is>
          <t>2027-11</t>
        </is>
      </c>
      <c r="C22" t="inlineStr">
        <is>
          <t>CAPEX-2026-PLATFORM-SSO</t>
        </is>
      </c>
      <c r="D22" s="5">
        <f>'Asset Register'!D2/'Asset Register'!E2</f>
        <v/>
      </c>
      <c r="E22" s="5">
        <f>D22*A22</f>
        <v/>
      </c>
      <c r="F22" s="5">
        <f>'Asset Register'!D2-E22</f>
        <v/>
      </c>
    </row>
    <row r="23">
      <c r="A23" t="n">
        <v>22</v>
      </c>
      <c r="B23" t="inlineStr">
        <is>
          <t>2027-12</t>
        </is>
      </c>
      <c r="C23" t="inlineStr">
        <is>
          <t>CAPEX-2026-PLATFORM-SSO</t>
        </is>
      </c>
      <c r="D23" s="5">
        <f>'Asset Register'!D2/'Asset Register'!E2</f>
        <v/>
      </c>
      <c r="E23" s="5">
        <f>D23*A23</f>
        <v/>
      </c>
      <c r="F23" s="5">
        <f>'Asset Register'!D2-E23</f>
        <v/>
      </c>
    </row>
    <row r="24">
      <c r="A24" t="n">
        <v>23</v>
      </c>
      <c r="B24" t="inlineStr">
        <is>
          <t>2028-01</t>
        </is>
      </c>
      <c r="C24" t="inlineStr">
        <is>
          <t>CAPEX-2026-PLATFORM-SSO</t>
        </is>
      </c>
      <c r="D24" s="5">
        <f>'Asset Register'!D2/'Asset Register'!E2</f>
        <v/>
      </c>
      <c r="E24" s="5">
        <f>D24*A24</f>
        <v/>
      </c>
      <c r="F24" s="5">
        <f>'Asset Register'!D2-E24</f>
        <v/>
      </c>
    </row>
    <row r="25">
      <c r="A25" t="n">
        <v>24</v>
      </c>
      <c r="B25" t="inlineStr">
        <is>
          <t>2028-02</t>
        </is>
      </c>
      <c r="C25" t="inlineStr">
        <is>
          <t>CAPEX-2026-PLATFORM-SSO</t>
        </is>
      </c>
      <c r="D25" s="5">
        <f>'Asset Register'!D2/'Asset Register'!E2</f>
        <v/>
      </c>
      <c r="E25" s="5">
        <f>D25*A25</f>
        <v/>
      </c>
      <c r="F25" s="5">
        <f>'Asset Register'!D2-E25</f>
        <v/>
      </c>
    </row>
    <row r="26">
      <c r="A26" t="n">
        <v>25</v>
      </c>
      <c r="B26" t="inlineStr">
        <is>
          <t>2028-03</t>
        </is>
      </c>
      <c r="C26" t="inlineStr">
        <is>
          <t>CAPEX-2026-PLATFORM-SSO</t>
        </is>
      </c>
      <c r="D26" s="5">
        <f>'Asset Register'!D2/'Asset Register'!E2</f>
        <v/>
      </c>
      <c r="E26" s="5">
        <f>D26*A26</f>
        <v/>
      </c>
      <c r="F26" s="5">
        <f>'Asset Register'!D2-E26</f>
        <v/>
      </c>
    </row>
    <row r="27">
      <c r="A27" t="n">
        <v>26</v>
      </c>
      <c r="B27" t="inlineStr">
        <is>
          <t>2028-04</t>
        </is>
      </c>
      <c r="C27" t="inlineStr">
        <is>
          <t>CAPEX-2026-PLATFORM-SSO</t>
        </is>
      </c>
      <c r="D27" s="5">
        <f>'Asset Register'!D2/'Asset Register'!E2</f>
        <v/>
      </c>
      <c r="E27" s="5">
        <f>D27*A27</f>
        <v/>
      </c>
      <c r="F27" s="5">
        <f>'Asset Register'!D2-E27</f>
        <v/>
      </c>
    </row>
    <row r="28">
      <c r="A28" t="n">
        <v>27</v>
      </c>
      <c r="B28" t="inlineStr">
        <is>
          <t>2028-05</t>
        </is>
      </c>
      <c r="C28" t="inlineStr">
        <is>
          <t>CAPEX-2026-PLATFORM-SSO</t>
        </is>
      </c>
      <c r="D28" s="5">
        <f>'Asset Register'!D2/'Asset Register'!E2</f>
        <v/>
      </c>
      <c r="E28" s="5">
        <f>D28*A28</f>
        <v/>
      </c>
      <c r="F28" s="5">
        <f>'Asset Register'!D2-E28</f>
        <v/>
      </c>
    </row>
    <row r="29">
      <c r="A29" t="n">
        <v>28</v>
      </c>
      <c r="B29" t="inlineStr">
        <is>
          <t>2028-06</t>
        </is>
      </c>
      <c r="C29" t="inlineStr">
        <is>
          <t>CAPEX-2026-PLATFORM-SSO</t>
        </is>
      </c>
      <c r="D29" s="5">
        <f>'Asset Register'!D2/'Asset Register'!E2</f>
        <v/>
      </c>
      <c r="E29" s="5">
        <f>D29*A29</f>
        <v/>
      </c>
      <c r="F29" s="5">
        <f>'Asset Register'!D2-E29</f>
        <v/>
      </c>
    </row>
    <row r="30">
      <c r="A30" t="n">
        <v>29</v>
      </c>
      <c r="B30" t="inlineStr">
        <is>
          <t>2028-07</t>
        </is>
      </c>
      <c r="C30" t="inlineStr">
        <is>
          <t>CAPEX-2026-PLATFORM-SSO</t>
        </is>
      </c>
      <c r="D30" s="5">
        <f>'Asset Register'!D2/'Asset Register'!E2</f>
        <v/>
      </c>
      <c r="E30" s="5">
        <f>D30*A30</f>
        <v/>
      </c>
      <c r="F30" s="5">
        <f>'Asset Register'!D2-E30</f>
        <v/>
      </c>
    </row>
    <row r="31">
      <c r="A31" t="n">
        <v>30</v>
      </c>
      <c r="B31" t="inlineStr">
        <is>
          <t>2028-08</t>
        </is>
      </c>
      <c r="C31" t="inlineStr">
        <is>
          <t>CAPEX-2026-PLATFORM-SSO</t>
        </is>
      </c>
      <c r="D31" s="5">
        <f>'Asset Register'!D2/'Asset Register'!E2</f>
        <v/>
      </c>
      <c r="E31" s="5">
        <f>D31*A31</f>
        <v/>
      </c>
      <c r="F31" s="5">
        <f>'Asset Register'!D2-E31</f>
        <v/>
      </c>
    </row>
    <row r="32">
      <c r="A32" t="n">
        <v>31</v>
      </c>
      <c r="B32" t="inlineStr">
        <is>
          <t>2028-09</t>
        </is>
      </c>
      <c r="C32" t="inlineStr">
        <is>
          <t>CAPEX-2026-PLATFORM-SSO</t>
        </is>
      </c>
      <c r="D32" s="5">
        <f>'Asset Register'!D2/'Asset Register'!E2</f>
        <v/>
      </c>
      <c r="E32" s="5">
        <f>D32*A32</f>
        <v/>
      </c>
      <c r="F32" s="5">
        <f>'Asset Register'!D2-E32</f>
        <v/>
      </c>
    </row>
    <row r="33">
      <c r="A33" t="n">
        <v>32</v>
      </c>
      <c r="B33" t="inlineStr">
        <is>
          <t>2028-10</t>
        </is>
      </c>
      <c r="C33" t="inlineStr">
        <is>
          <t>CAPEX-2026-PLATFORM-SSO</t>
        </is>
      </c>
      <c r="D33" s="5">
        <f>'Asset Register'!D2/'Asset Register'!E2</f>
        <v/>
      </c>
      <c r="E33" s="5">
        <f>D33*A33</f>
        <v/>
      </c>
      <c r="F33" s="5">
        <f>'Asset Register'!D2-E33</f>
        <v/>
      </c>
    </row>
    <row r="34">
      <c r="A34" t="n">
        <v>33</v>
      </c>
      <c r="B34" t="inlineStr">
        <is>
          <t>2028-11</t>
        </is>
      </c>
      <c r="C34" t="inlineStr">
        <is>
          <t>CAPEX-2026-PLATFORM-SSO</t>
        </is>
      </c>
      <c r="D34" s="5">
        <f>'Asset Register'!D2/'Asset Register'!E2</f>
        <v/>
      </c>
      <c r="E34" s="5">
        <f>D34*A34</f>
        <v/>
      </c>
      <c r="F34" s="5">
        <f>'Asset Register'!D2-E34</f>
        <v/>
      </c>
    </row>
    <row r="35">
      <c r="A35" t="n">
        <v>34</v>
      </c>
      <c r="B35" t="inlineStr">
        <is>
          <t>2028-12</t>
        </is>
      </c>
      <c r="C35" t="inlineStr">
        <is>
          <t>CAPEX-2026-PLATFORM-SSO</t>
        </is>
      </c>
      <c r="D35" s="5">
        <f>'Asset Register'!D2/'Asset Register'!E2</f>
        <v/>
      </c>
      <c r="E35" s="5">
        <f>D35*A35</f>
        <v/>
      </c>
      <c r="F35" s="5">
        <f>'Asset Register'!D2-E35</f>
        <v/>
      </c>
    </row>
    <row r="36">
      <c r="A36" t="n">
        <v>35</v>
      </c>
      <c r="B36" t="inlineStr">
        <is>
          <t>2029-01</t>
        </is>
      </c>
      <c r="C36" t="inlineStr">
        <is>
          <t>CAPEX-2026-PLATFORM-SSO</t>
        </is>
      </c>
      <c r="D36" s="5">
        <f>'Asset Register'!D2/'Asset Register'!E2</f>
        <v/>
      </c>
      <c r="E36" s="5">
        <f>D36*A36</f>
        <v/>
      </c>
      <c r="F36" s="5">
        <f>'Asset Register'!D2-E36</f>
        <v/>
      </c>
    </row>
    <row r="37">
      <c r="A37" t="n">
        <v>36</v>
      </c>
      <c r="B37" t="inlineStr">
        <is>
          <t>2029-02</t>
        </is>
      </c>
      <c r="C37" t="inlineStr">
        <is>
          <t>CAPEX-2026-PLATFORM-SSO</t>
        </is>
      </c>
      <c r="D37" s="5">
        <f>'Asset Register'!D2/'Asset Register'!E2</f>
        <v/>
      </c>
      <c r="E37" s="5">
        <f>D37*A37</f>
        <v/>
      </c>
      <c r="F37" s="5">
        <f>'Asset Register'!D2-E37</f>
        <v/>
      </c>
    </row>
    <row r="38"/>
    <row r="39">
      <c r="A39" s="6" t="inlineStr">
        <is>
          <t>Note:</t>
        </is>
      </c>
      <c r="B39" t="inlineStr">
        <is>
          <t>Copy rows 2-37 and adjust formulas/project codes for each additional project in the Asset Register.</t>
        </is>
      </c>
    </row>
  </sheetData>
  <mergeCells count="1">
    <mergeCell ref="B39:F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</cols>
  <sheetData>
    <row r="1">
      <c r="A1" s="7" t="inlineStr">
        <is>
          <t>Summary Dashboard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t="inlineStr">
        <is>
          <t>Total Capitalized (lifetime)</t>
        </is>
      </c>
      <c r="B4" s="5">
        <f>SUM('Asset Register'!D:D)</f>
        <v/>
      </c>
    </row>
    <row r="5">
      <c r="A5" t="inlineStr">
        <is>
          <t>Total Accumulated Amortization</t>
        </is>
      </c>
      <c r="B5" s="5">
        <f>SUM('Asset Register'!G:G)</f>
        <v/>
      </c>
    </row>
    <row r="6">
      <c r="A6" t="inlineStr">
        <is>
          <t>Total Net Book Value</t>
        </is>
      </c>
      <c r="B6" s="5">
        <f>SUM('Asset Register'!H:H)</f>
        <v/>
      </c>
    </row>
    <row r="7">
      <c r="A7" t="inlineStr">
        <is>
          <t>YTD Additions (current year — update range as needed)</t>
        </is>
      </c>
      <c r="B7" s="5">
        <f>SUMIF('Monthly Additions'!A:A,"&gt;=2026-01",'Monthly Additions'!C:C)</f>
        <v/>
      </c>
    </row>
    <row r="8">
      <c r="A8" t="inlineStr"/>
      <c r="B8" t="inlineStr"/>
    </row>
    <row r="9">
      <c r="A9" t="inlineStr">
        <is>
          <t>Pivot hint:</t>
        </is>
      </c>
      <c r="B9" t="inlineStr">
        <is>
          <t>To convert into a pivot: select Asset Register and insert pivot.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2" customWidth="1" min="5" max="5"/>
    <col width="45" customWidth="1" min="6" max="6"/>
  </cols>
  <sheetData>
    <row r="1">
      <c r="A1" s="3" t="inlineStr">
        <is>
          <t>Date</t>
        </is>
      </c>
      <c r="B1" s="3" t="inlineStr">
        <is>
          <t>Account #</t>
        </is>
      </c>
      <c r="C1" s="3" t="inlineStr">
        <is>
          <t>Account Name</t>
        </is>
      </c>
      <c r="D1" s="3" t="inlineStr">
        <is>
          <t>Dr</t>
        </is>
      </c>
      <c r="E1" s="3" t="inlineStr">
        <is>
          <t>Cr</t>
        </is>
      </c>
      <c r="F1" s="3" t="inlineStr">
        <is>
          <t>Memo</t>
        </is>
      </c>
    </row>
    <row r="2">
      <c r="A2" s="4" t="inlineStr">
        <is>
          <t>2026-03-31</t>
        </is>
      </c>
      <c r="B2" t="inlineStr">
        <is>
          <t>1700</t>
        </is>
      </c>
      <c r="C2" t="inlineStr">
        <is>
          <t>Capitalized Software (Asset)</t>
        </is>
      </c>
      <c r="D2" s="5" t="n">
        <v>180000</v>
      </c>
      <c r="E2" s="5" t="n"/>
      <c r="F2" t="inlineStr">
        <is>
          <t>Mar 2026 capex per monthly report</t>
        </is>
      </c>
    </row>
    <row r="3">
      <c r="A3" s="4" t="inlineStr">
        <is>
          <t>2026-03-31</t>
        </is>
      </c>
      <c r="B3" t="inlineStr">
        <is>
          <t>6100</t>
        </is>
      </c>
      <c r="C3" t="inlineStr">
        <is>
          <t>Salaries — Capitalized Offset</t>
        </is>
      </c>
      <c r="D3" s="5" t="n"/>
      <c r="E3" s="5" t="n">
        <v>180000</v>
      </c>
      <c r="F3" t="inlineStr">
        <is>
          <t>Mar 2026 capex offset to engineering salaries</t>
        </is>
      </c>
    </row>
    <row r="4">
      <c r="A4" s="4" t="inlineStr">
        <is>
          <t>2026-03-31</t>
        </is>
      </c>
      <c r="B4" t="inlineStr">
        <is>
          <t>7400</t>
        </is>
      </c>
      <c r="C4" t="inlineStr">
        <is>
          <t>Amortization Expense</t>
        </is>
      </c>
      <c r="D4" s="5" t="n">
        <v>5139</v>
      </c>
      <c r="E4" s="5" t="n"/>
      <c r="F4" t="inlineStr">
        <is>
          <t>Mar 2026 amortization — CAPEX-2026-PLATFORM-SSO</t>
        </is>
      </c>
    </row>
    <row r="5">
      <c r="A5" s="4" t="inlineStr">
        <is>
          <t>2026-03-31</t>
        </is>
      </c>
      <c r="B5" t="inlineStr">
        <is>
          <t>1701</t>
        </is>
      </c>
      <c r="C5" t="inlineStr">
        <is>
          <t>Accum. Amortization — Capitalized Software</t>
        </is>
      </c>
      <c r="D5" s="5" t="n"/>
      <c r="E5" s="5" t="n">
        <v>5139</v>
      </c>
      <c r="F5" t="inlineStr">
        <is>
          <t>Mar 2026 amortization — CAPEX-2026-PLATFORM-SSO</t>
        </is>
      </c>
    </row>
    <row r="6">
      <c r="A6" s="4" t="inlineStr">
        <is>
          <t>2026-06-30</t>
        </is>
      </c>
      <c r="B6" t="inlineStr">
        <is>
          <t>7500</t>
        </is>
      </c>
      <c r="C6" t="inlineStr">
        <is>
          <t>Impairment Loss</t>
        </is>
      </c>
      <c r="D6" s="5" t="n">
        <v>20000</v>
      </c>
      <c r="E6" s="5" t="n"/>
      <c r="F6" t="inlineStr">
        <is>
          <t>Impair CAPEX-2026-RESIDENT-APP — project descoped</t>
        </is>
      </c>
    </row>
    <row r="7">
      <c r="A7" s="4" t="inlineStr">
        <is>
          <t>2026-06-30</t>
        </is>
      </c>
      <c r="B7" t="inlineStr">
        <is>
          <t>1700</t>
        </is>
      </c>
      <c r="C7" t="inlineStr">
        <is>
          <t>Capitalized Software (Asset)</t>
        </is>
      </c>
      <c r="D7" s="5" t="n"/>
      <c r="E7" s="5" t="n">
        <v>20000</v>
      </c>
      <c r="F7" t="inlineStr">
        <is>
          <t>Impair CAPEX-2026-RESIDENT-APP — project descoped</t>
        </is>
      </c>
    </row>
    <row r="8">
      <c r="A8" s="4" t="inlineStr">
        <is>
          <t>2029-03-31</t>
        </is>
      </c>
      <c r="B8" t="inlineStr">
        <is>
          <t>1701</t>
        </is>
      </c>
      <c r="C8" t="inlineStr">
        <is>
          <t>Accum. Amortization — Capitalized Software</t>
        </is>
      </c>
      <c r="D8" s="5" t="n">
        <v>185000</v>
      </c>
      <c r="E8" s="5" t="n"/>
      <c r="F8" t="inlineStr">
        <is>
          <t>Retire fully amortized CAPEX-2026-PLATFORM-SSO</t>
        </is>
      </c>
    </row>
    <row r="9">
      <c r="A9" s="4" t="inlineStr">
        <is>
          <t>2029-03-31</t>
        </is>
      </c>
      <c r="B9" t="inlineStr">
        <is>
          <t>1700</t>
        </is>
      </c>
      <c r="C9" t="inlineStr">
        <is>
          <t>Capitalized Software (Asset)</t>
        </is>
      </c>
      <c r="D9" s="5" t="n"/>
      <c r="E9" s="5" t="n">
        <v>185000</v>
      </c>
      <c r="F9" t="inlineStr">
        <is>
          <t>Retire fully amortized CAPEX-2026-PLATFORM-SSO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2026-04-17T18:16:45Z</dcterms:created>
  <dcterms:modified xsi:type="dcterms:W3CDTF">2026-04-17T18:16:45Z</dcterms:modified>
</cp:coreProperties>
</file>